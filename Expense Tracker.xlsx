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C:\Users\User\Desktop\2026\Data Preparation Power Bi\Expense Tracker\"/>
    </mc:Choice>
  </mc:AlternateContent>
  <xr:revisionPtr revIDLastSave="0" documentId="13_ncr:1_{707CC7A9-8108-4582-881B-7322CFDF2B12}" xr6:coauthVersionLast="47" xr6:coauthVersionMax="47" xr10:uidLastSave="{00000000-0000-0000-0000-000000000000}"/>
  <bookViews>
    <workbookView xWindow="-110" yWindow="-110" windowWidth="19420" windowHeight="11020" activeTab="2" xr2:uid="{D6AA8913-436D-406F-99CD-0AD3FE3254B9}"/>
  </bookViews>
  <sheets>
    <sheet name="Transactions(Dataset)" sheetId="1" r:id="rId1"/>
    <sheet name="Summary" sheetId="5" r:id="rId2"/>
    <sheet name="Dashboard" sheetId="8" r:id="rId3"/>
  </sheets>
  <definedNames>
    <definedName name="_xlcn.WorksheetConnection_ExpenseTracker.xlsxTransactions1" hidden="1">Transactions[]</definedName>
    <definedName name="Slicer_Date">#N/A</definedName>
  </definedNames>
  <calcPr calcId="191029"/>
  <pivotCaches>
    <pivotCache cacheId="210" r:id="rId4"/>
    <pivotCache cacheId="211" r:id="rId5"/>
    <pivotCache cacheId="212" r:id="rId6"/>
    <pivotCache cacheId="213" r:id="rId7"/>
  </pivotCaches>
  <extLst>
    <ext xmlns:x14="http://schemas.microsoft.com/office/spreadsheetml/2009/9/main" uri="{876F7934-8845-4945-9796-88D515C7AA90}">
      <x14:pivotCaches>
        <pivotCache cacheId="214"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 name="Transactions" connection="WorksheetConnection_Expense Tracker.xlsx!Transaction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 l="1"/>
  <c r="C6" i="8"/>
  <c r="C5" i="8"/>
  <c r="C4" i="8"/>
  <c r="D3" i="8" l="1"/>
  <c r="D5" i="8"/>
  <c r="D6" i="8"/>
  <c r="D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23B40F-D4EF-47E8-9D31-065E085E68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031A1AB-730E-4167-8263-AA5F9836A4D7}" name="WorksheetConnection_Expense Tracker.xlsx!Transactions" type="102" refreshedVersion="8" minRefreshableVersion="5">
    <extLst>
      <ext xmlns:x15="http://schemas.microsoft.com/office/spreadsheetml/2010/11/main" uri="{DE250136-89BD-433C-8126-D09CA5730AF9}">
        <x15:connection id="Transactions" autoDelete="1">
          <x15:rangePr sourceName="_xlcn.WorksheetConnection_ExpenseTracker.xlsxTransaction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ransactions].[Date].[All]}"/>
  </metadataStrings>
  <mdxMetadata count="1">
    <mdx n="0" f="s">
      <ms ns="1" c="0"/>
    </mdx>
  </mdxMetadata>
  <valueMetadata count="1">
    <bk>
      <rc t="1" v="0"/>
    </bk>
  </valueMetadata>
</metadata>
</file>

<file path=xl/sharedStrings.xml><?xml version="1.0" encoding="utf-8"?>
<sst xmlns="http://schemas.openxmlformats.org/spreadsheetml/2006/main" count="193" uniqueCount="25">
  <si>
    <t>Date</t>
  </si>
  <si>
    <t>Category</t>
  </si>
  <si>
    <t>Amount</t>
  </si>
  <si>
    <t>Type</t>
  </si>
  <si>
    <t>Out</t>
  </si>
  <si>
    <t>Food &amp; Drink</t>
  </si>
  <si>
    <t>Shops</t>
  </si>
  <si>
    <t>Transport</t>
  </si>
  <si>
    <t>Bill</t>
  </si>
  <si>
    <t>Transfer</t>
  </si>
  <si>
    <t>Row Labels</t>
  </si>
  <si>
    <t>Grand Total</t>
  </si>
  <si>
    <t>Sum of Amount</t>
  </si>
  <si>
    <t>All</t>
  </si>
  <si>
    <t>Monthly Budget (RM)</t>
  </si>
  <si>
    <t>Balance</t>
  </si>
  <si>
    <t>Spent (RM)</t>
  </si>
  <si>
    <t>Month</t>
  </si>
  <si>
    <t>March</t>
  </si>
  <si>
    <t>Total Amount</t>
  </si>
  <si>
    <t>Expenses in Transactions</t>
  </si>
  <si>
    <t>73% of total spending were dominated by Transfer Category. This indicates structured financial commitments.</t>
  </si>
  <si>
    <t xml:space="preserve">Based on the spending for food &amp; drink, the expenses were kept within budget, with a remaining balance of RM120. </t>
  </si>
  <si>
    <t xml:space="preserve">Transportation cost remained below budget and shopping expenses were close to the budget, indicating an adjustment is </t>
  </si>
  <si>
    <t>needed on impulse spending.  Across all categories, expenses remained within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</si>
</sst>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M&quot;#,##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cellXfs>
  <cellStyles count="1">
    <cellStyle name="Normal" xfId="0" builtinId="0"/>
  </cellStyles>
  <dxfs count="9">
    <dxf>
      <fill>
        <patternFill>
          <bgColor rgb="FFFF0000"/>
        </patternFill>
      </fill>
    </dxf>
    <dxf>
      <numFmt numFmtId="164" formatCode="&quot;RM&quot;#,##0.00"/>
    </dxf>
    <dxf>
      <numFmt numFmtId="164" formatCode="&quot;RM&quot;#,##0.00"/>
    </dxf>
    <dxf>
      <numFmt numFmtId="164" formatCode="&quot;RM&quot;#,##0.00"/>
    </dxf>
    <dxf>
      <numFmt numFmtId="19" formatCode="d/m/yyyy"/>
    </dxf>
    <dxf>
      <numFmt numFmtId="164" formatCode="&quot;RM&quot;#,##0.00"/>
    </dxf>
    <dxf>
      <numFmt numFmtId="164" formatCode="&quot;RM&quot;#,##0.00"/>
    </dxf>
    <dxf>
      <alignment horizontal="left" vertical="bottom" textRotation="0" wrapText="0" indent="0" justifyLastLine="0" shrinkToFit="0" readingOrder="0"/>
    </dxf>
    <dxf>
      <numFmt numFmtId="164" formatCode="&quot;RM&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 Tracker.xlsx]Dashboard!PivotTable23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a:t>Total Expense in March 2025</a:t>
            </a:r>
          </a:p>
        </c:rich>
      </c:tx>
      <c:layout>
        <c:manualLayout>
          <c:xMode val="edge"/>
          <c:yMode val="edge"/>
          <c:x val="0.23538188976377958"/>
          <c:y val="0.229440069991251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layout>
            <c:manualLayout>
              <c:x val="-0.15277777777777779"/>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7222222222222224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tx2">
              <a:lumMod val="50000"/>
              <a:lumOff val="50000"/>
            </a:schemeClr>
          </a:solidFill>
          <a:ln w="19050">
            <a:solidFill>
              <a:schemeClr val="lt1"/>
            </a:solidFill>
          </a:ln>
          <a:effectLst/>
        </c:spPr>
        <c:dLbl>
          <c:idx val="0"/>
          <c:layout>
            <c:manualLayout>
              <c:x val="2.7777777777777779E-3"/>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92D050"/>
          </a:solidFill>
          <a:ln w="19050">
            <a:solidFill>
              <a:schemeClr val="lt1"/>
            </a:solidFill>
          </a:ln>
          <a:effectLst/>
        </c:spPr>
        <c:dLbl>
          <c:idx val="0"/>
          <c:layout>
            <c:manualLayout>
              <c:x val="9.7222222222222224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FF00"/>
          </a:solidFill>
          <a:ln w="19050">
            <a:solidFill>
              <a:schemeClr val="lt1"/>
            </a:solidFill>
          </a:ln>
          <a:effectLst/>
        </c:spPr>
        <c:dLbl>
          <c:idx val="0"/>
          <c:layout>
            <c:manualLayout>
              <c:x val="0.16666666666666666"/>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Dashboard!$B$10</c:f>
              <c:strCache>
                <c:ptCount val="1"/>
                <c:pt idx="0">
                  <c:v>Total</c:v>
                </c:pt>
              </c:strCache>
            </c:strRef>
          </c:tx>
          <c:spPr>
            <a:solidFill>
              <a:srgbClr val="FFFF00"/>
            </a:solidFill>
          </c:spPr>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4-492E-42D5-827F-2710E412D0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2E-42D5-827F-2710E412D0AA}"/>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492E-42D5-827F-2710E412D0AA}"/>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6-492E-42D5-827F-2710E412D0AA}"/>
              </c:ext>
            </c:extLst>
          </c:dPt>
          <c:dPt>
            <c:idx val="4"/>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492E-42D5-827F-2710E412D0AA}"/>
              </c:ext>
            </c:extLst>
          </c:dPt>
          <c:dLbls>
            <c:dLbl>
              <c:idx val="0"/>
              <c:layout>
                <c:manualLayout>
                  <c:x val="2.7777777777777779E-3"/>
                  <c:y val="-6.94444444444444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492E-42D5-827F-2710E412D0AA}"/>
                </c:ext>
              </c:extLst>
            </c:dLbl>
            <c:dLbl>
              <c:idx val="1"/>
              <c:layout>
                <c:manualLayout>
                  <c:x val="9.7222222222222224E-2"/>
                  <c:y val="-3.7037037037037035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92E-42D5-827F-2710E412D0AA}"/>
                </c:ext>
              </c:extLst>
            </c:dLbl>
            <c:dLbl>
              <c:idx val="2"/>
              <c:layout>
                <c:manualLayout>
                  <c:x val="9.7222222222222224E-2"/>
                  <c:y val="9.2592592592592587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92E-42D5-827F-2710E412D0AA}"/>
                </c:ext>
              </c:extLst>
            </c:dLbl>
            <c:dLbl>
              <c:idx val="3"/>
              <c:layout>
                <c:manualLayout>
                  <c:x val="0.16666666666666666"/>
                  <c:y val="-1.388888888888888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92E-42D5-827F-2710E412D0AA}"/>
                </c:ext>
              </c:extLst>
            </c:dLbl>
            <c:dLbl>
              <c:idx val="4"/>
              <c:layout>
                <c:manualLayout>
                  <c:x val="-0.15277777777777779"/>
                  <c:y val="-4.629629629629629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92E-42D5-827F-2710E412D0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Dashboard!$A$11:$A$16</c:f>
              <c:strCache>
                <c:ptCount val="5"/>
                <c:pt idx="0">
                  <c:v>Bill</c:v>
                </c:pt>
                <c:pt idx="1">
                  <c:v>Food &amp; Drink</c:v>
                </c:pt>
                <c:pt idx="2">
                  <c:v>Shops</c:v>
                </c:pt>
                <c:pt idx="3">
                  <c:v>Transfer</c:v>
                </c:pt>
                <c:pt idx="4">
                  <c:v>Transport</c:v>
                </c:pt>
              </c:strCache>
            </c:strRef>
          </c:cat>
          <c:val>
            <c:numRef>
              <c:f>Dashboard!$B$11:$B$16</c:f>
              <c:numCache>
                <c:formatCode>"RM"#,##0.00</c:formatCode>
                <c:ptCount val="5"/>
                <c:pt idx="0">
                  <c:v>90</c:v>
                </c:pt>
                <c:pt idx="1">
                  <c:v>380</c:v>
                </c:pt>
                <c:pt idx="2">
                  <c:v>496.4</c:v>
                </c:pt>
                <c:pt idx="3">
                  <c:v>3520</c:v>
                </c:pt>
                <c:pt idx="4">
                  <c:v>334.43</c:v>
                </c:pt>
              </c:numCache>
            </c:numRef>
          </c:val>
          <c:extLst>
            <c:ext xmlns:c16="http://schemas.microsoft.com/office/drawing/2014/chart" uri="{C3380CC4-5D6E-409C-BE32-E72D297353CC}">
              <c16:uniqueId val="{00000000-492E-42D5-827F-2710E412D0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438150</xdr:colOff>
      <xdr:row>6</xdr:row>
      <xdr:rowOff>146050</xdr:rowOff>
    </xdr:from>
    <xdr:to>
      <xdr:col>5</xdr:col>
      <xdr:colOff>152400</xdr:colOff>
      <xdr:row>21</xdr:row>
      <xdr:rowOff>3172</xdr:rowOff>
    </xdr:to>
    <mc:AlternateContent xmlns:mc="http://schemas.openxmlformats.org/markup-compatibility/2006" xmlns:a14="http://schemas.microsoft.com/office/drawing/2010/main">
      <mc:Choice Requires="a14">
        <xdr:graphicFrame macro="">
          <xdr:nvGraphicFramePr>
            <xdr:cNvPr id="4" name="Date">
              <a:extLst>
                <a:ext uri="{FF2B5EF4-FFF2-40B4-BE49-F238E27FC236}">
                  <a16:creationId xmlns:a16="http://schemas.microsoft.com/office/drawing/2014/main" id="{AEEA70AB-03D0-9BAA-F60E-69DF2213753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432050" y="1250950"/>
              <a:ext cx="1828800" cy="261937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441325</xdr:colOff>
      <xdr:row>2</xdr:row>
      <xdr:rowOff>15875</xdr:rowOff>
    </xdr:from>
    <xdr:to>
      <xdr:col>12</xdr:col>
      <xdr:colOff>142875</xdr:colOff>
      <xdr:row>16</xdr:row>
      <xdr:rowOff>180975</xdr:rowOff>
    </xdr:to>
    <xdr:graphicFrame macro="">
      <xdr:nvGraphicFramePr>
        <xdr:cNvPr id="5" name="Chart 4">
          <a:extLst>
            <a:ext uri="{FF2B5EF4-FFF2-40B4-BE49-F238E27FC236}">
              <a16:creationId xmlns:a16="http://schemas.microsoft.com/office/drawing/2014/main" id="{0BCE0F0E-E290-BC8D-625B-363108DEDF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694056365741" backgroundQuery="1" createdVersion="8" refreshedVersion="8" minRefreshableVersion="3" recordCount="0" supportSubquery="1" supportAdvancedDrill="1" xr:uid="{7E2576CC-C8B7-4496-9938-6C201236DD83}">
  <cacheSource type="external" connectionId="1"/>
  <cacheFields count="3">
    <cacheField name="[Transactions].[Category].[Category]" caption="Category" numFmtId="0" hierarchy="1" level="1">
      <sharedItems count="5">
        <s v="Bill"/>
        <s v="Food &amp; Drink"/>
        <s v="Shops"/>
        <s v="Transfer"/>
        <s v="Transport"/>
      </sharedItems>
    </cacheField>
    <cacheField name="[Measures].[Sum of Amount]" caption="Sum of Amount" numFmtId="0" hierarchy="6" level="32767"/>
    <cacheField name="[Transactions].[Date].[Date]" caption="Date" numFmtId="0" level="1">
      <sharedItems containsSemiMixedTypes="0" containsNonDate="0" containsString="0"/>
    </cacheField>
  </cacheFields>
  <cacheHierarchies count="7">
    <cacheHierarchy uniqueName="[Transactions].[Date]" caption="Date" attribute="1" time="1" defaultMemberUniqueName="[Transactions].[Date].[All]" allUniqueName="[Transactions].[Date].[All]" dimensionUniqueName="[Transactions]" displayFolder="" count="2" memberValueDatatype="7" unbalanced="0">
      <fieldsUsage count="2">
        <fieldUsage x="-1"/>
        <fieldUsage x="2"/>
      </fieldsUsage>
    </cacheHierarchy>
    <cacheHierarchy uniqueName="[Transactions].[Category]" caption="Category" attribute="1" defaultMemberUniqueName="[Transactions].[Category].[All]" allUniqueName="[Transactions].[Category].[All]" dimensionUniqueName="[Transactions]" displayFolder="" count="2" memberValueDatatype="130" unbalanced="0">
      <fieldsUsage count="2">
        <fieldUsage x="-1"/>
        <fieldUsage x="0"/>
      </fieldsUsage>
    </cacheHierarchy>
    <cacheHierarchy uniqueName="[Transactions].[Amount]" caption="Amount" attribute="1" defaultMemberUniqueName="[Transactions].[Amount].[All]" allUniqueName="[Transactions].[Amount].[All]" dimensionUniqueName="[Transactions]" displayFolder="" count="0" memberValueDatatype="5" unbalanced="0"/>
    <cacheHierarchy uniqueName="[Transactions].[Type]" caption="Type" attribute="1" defaultMemberUniqueName="[Transactions].[Type].[All]" allUniqueName="[Transactions].[Type].[All]" dimensionUniqueName="[Transactions]" displayFolder="" count="0" memberValueDatatype="130" unbalanced="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701285532406" backgroundQuery="1" createdVersion="8" refreshedVersion="8" minRefreshableVersion="3" recordCount="0" supportSubquery="1" supportAdvancedDrill="1" xr:uid="{1AA4CB96-B4A4-470D-88FE-D0E676E50890}">
  <cacheSource type="external" connectionId="1"/>
  <cacheFields count="3">
    <cacheField name="[Measures].[Sum of Amount]" caption="Sum of Amount" numFmtId="0" hierarchy="6" level="32767"/>
    <cacheField name="[Transactions].[Date].[Date]" caption="Date" numFmtId="0" level="1">
      <sharedItems containsSemiMixedTypes="0" containsNonDate="0" containsString="0"/>
    </cacheField>
    <cacheField name="[Transactions].[Category].[Category]" caption="Category" numFmtId="0" hierarchy="1" level="1">
      <sharedItems count="5">
        <s v="Bill"/>
        <s v="Food &amp; Drink"/>
        <s v="Shops"/>
        <s v="Transfer"/>
        <s v="Transport"/>
      </sharedItems>
    </cacheField>
  </cacheFields>
  <cacheHierarchies count="7">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Category]" caption="Category" attribute="1" defaultMemberUniqueName="[Transactions].[Category].[All]" allUniqueName="[Transactions].[Category].[All]" dimensionUniqueName="[Transactions]" displayFolder="" count="2" memberValueDatatype="130" unbalanced="0">
      <fieldsUsage count="2">
        <fieldUsage x="-1"/>
        <fieldUsage x="2"/>
      </fieldsUsage>
    </cacheHierarchy>
    <cacheHierarchy uniqueName="[Transactions].[Amount]" caption="Amount" attribute="1" defaultMemberUniqueName="[Transactions].[Amount].[All]" allUniqueName="[Transactions].[Amount].[All]" dimensionUniqueName="[Transactions]" displayFolder="" count="0" memberValueDatatype="5" unbalanced="0"/>
    <cacheHierarchy uniqueName="[Transactions].[Type]" caption="Type" attribute="1" defaultMemberUniqueName="[Transactions].[Type].[All]" allUniqueName="[Transactions].[Type].[All]" dimensionUniqueName="[Transactions]" displayFolder="" count="2" memberValueDatatype="130" unbalanced="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786412731482" backgroundQuery="1" createdVersion="8" refreshedVersion="8" minRefreshableVersion="3" recordCount="0" supportSubquery="1" supportAdvancedDrill="1" xr:uid="{5EE7879C-4BF2-453D-82FC-C9B112C8D62A}">
  <cacheSource type="external" connectionId="1"/>
  <cacheFields count="3">
    <cacheField name="[Measures].[Sum of Amount]" caption="Sum of Amount" numFmtId="0" hierarchy="6" level="32767"/>
    <cacheField name="[Transactions].[Date].[Date]" caption="Date" numFmtId="0" level="1">
      <sharedItems containsSemiMixedTypes="0" containsNonDate="0" containsString="0"/>
    </cacheField>
    <cacheField name="[Transactions].[Category].[Category]" caption="Category" numFmtId="0" hierarchy="1" level="1">
      <sharedItems count="5">
        <s v="Bill"/>
        <s v="Food &amp; Drink"/>
        <s v="Shops"/>
        <s v="Transfer"/>
        <s v="Transport"/>
      </sharedItems>
    </cacheField>
  </cacheFields>
  <cacheHierarchies count="7">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Category]" caption="Category" attribute="1" defaultMemberUniqueName="[Transactions].[Category].[All]" allUniqueName="[Transactions].[Category].[All]" dimensionUniqueName="[Transactions]" displayFolder="" count="2" memberValueDatatype="130" unbalanced="0">
      <fieldsUsage count="2">
        <fieldUsage x="-1"/>
        <fieldUsage x="2"/>
      </fieldsUsage>
    </cacheHierarchy>
    <cacheHierarchy uniqueName="[Transactions].[Amount]" caption="Amount" attribute="1" defaultMemberUniqueName="[Transactions].[Amount].[All]" allUniqueName="[Transactions].[Amount].[All]" dimensionUniqueName="[Transactions]" displayFolder="" count="2" memberValueDatatype="5" unbalanced="0"/>
    <cacheHierarchy uniqueName="[Transactions].[Type]" caption="Type" attribute="1" defaultMemberUniqueName="[Transactions].[Type].[All]" allUniqueName="[Transactions].[Type].[All]" dimensionUniqueName="[Transactions]" displayFolder="" count="2" memberValueDatatype="130" unbalanced="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810393055559" backgroundQuery="1" createdVersion="8" refreshedVersion="8" minRefreshableVersion="3" recordCount="0" supportSubquery="1" supportAdvancedDrill="1" xr:uid="{13D01DF7-D9EC-4387-BD63-7CBF7581B15D}">
  <cacheSource type="external" connectionId="1"/>
  <cacheFields count="3">
    <cacheField name="[Measures].[Sum of Amount]" caption="Sum of Amount" numFmtId="0" hierarchy="6" level="32767"/>
    <cacheField name="[Transactions].[Date].[Date]" caption="Date" numFmtId="0" level="1">
      <sharedItems containsSemiMixedTypes="0" containsNonDate="0" containsString="0"/>
    </cacheField>
    <cacheField name="[Transactions].[Category].[Category]" caption="Category" numFmtId="0" hierarchy="1" level="1">
      <sharedItems count="5">
        <s v="Bill"/>
        <s v="Food &amp; Drink"/>
        <s v="Shops"/>
        <s v="Transfer"/>
        <s v="Transport"/>
      </sharedItems>
    </cacheField>
  </cacheFields>
  <cacheHierarchies count="7">
    <cacheHierarchy uniqueName="[Transactions].[Date]" caption="Date" attribute="1" time="1" defaultMemberUniqueName="[Transactions].[Date].[All]" allUniqueName="[Transactions].[Date].[All]" dimensionUniqueName="[Transactions]" displayFolder="" count="2" memberValueDatatype="7" unbalanced="0">
      <fieldsUsage count="2">
        <fieldUsage x="-1"/>
        <fieldUsage x="1"/>
      </fieldsUsage>
    </cacheHierarchy>
    <cacheHierarchy uniqueName="[Transactions].[Category]" caption="Category" attribute="1" defaultMemberUniqueName="[Transactions].[Category].[All]" allUniqueName="[Transactions].[Category].[All]" dimensionUniqueName="[Transactions]" displayFolder="" count="2" memberValueDatatype="130" unbalanced="0">
      <fieldsUsage count="2">
        <fieldUsage x="-1"/>
        <fieldUsage x="2"/>
      </fieldsUsage>
    </cacheHierarchy>
    <cacheHierarchy uniqueName="[Transactions].[Amount]" caption="Amount" attribute="1" defaultMemberUniqueName="[Transactions].[Amount].[All]" allUniqueName="[Transactions].[Amount].[All]" dimensionUniqueName="[Transactions]" displayFolder="" count="2" memberValueDatatype="5" unbalanced="0"/>
    <cacheHierarchy uniqueName="[Transactions].[Type]" caption="Type" attribute="1" defaultMemberUniqueName="[Transactions].[Type].[All]" allUniqueName="[Transactions].[Type].[All]" dimensionUniqueName="[Transactions]" displayFolder="" count="2" memberValueDatatype="130" unbalanced="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5.786891435186" backgroundQuery="1" createdVersion="3" refreshedVersion="8" minRefreshableVersion="3" recordCount="0" supportSubquery="1" supportAdvancedDrill="1" xr:uid="{52F81B4E-BAA6-4584-B7EA-DE3F3E988CB2}">
  <cacheSource type="external" connectionId="1">
    <extLst>
      <ext xmlns:x14="http://schemas.microsoft.com/office/spreadsheetml/2009/9/main" uri="{F057638F-6D5F-4e77-A914-E7F072B9BCA8}">
        <x14:sourceConnection name="ThisWorkbookDataModel"/>
      </ext>
    </extLst>
  </cacheSource>
  <cacheFields count="0"/>
  <cacheHierarchies count="7">
    <cacheHierarchy uniqueName="[Transactions].[Date]" caption="Date" attribute="1" time="1" defaultMemberUniqueName="[Transactions].[Date].[All]" allUniqueName="[Transactions].[Date].[All]" dimensionUniqueName="[Transactions]" displayFolder="" count="2" memberValueDatatype="7" unbalanced="0"/>
    <cacheHierarchy uniqueName="[Transactions].[Category]" caption="Category" attribute="1" defaultMemberUniqueName="[Transactions].[Category].[All]" allUniqueName="[Transactions].[Category].[All]" dimensionUniqueName="[Transactions]" displayFolder="" count="0" memberValueDatatype="130" unbalanced="0"/>
    <cacheHierarchy uniqueName="[Transactions].[Amount]" caption="Amount" attribute="1" defaultMemberUniqueName="[Transactions].[Amount].[All]" allUniqueName="[Transactions].[Amount].[All]" dimensionUniqueName="[Transactions]" displayFolder="" count="0" memberValueDatatype="5" unbalanced="0"/>
    <cacheHierarchy uniqueName="[Transactions].[Type]" caption="Type" attribute="1" defaultMemberUniqueName="[Transactions].[Type].[All]" allUniqueName="[Transactions].[Type].[All]" dimensionUniqueName="[Transactions]" displayFolder="" count="0" memberValueDatatype="130" unbalanced="0"/>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mount]" caption="Sum of Amount" measure="1" displayFolder="" measureGroup="Transactions"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5470167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163002-164F-4B2A-82C3-C3F32F2266C0}" name="PivotTable14" cacheId="2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D4:E10"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pageFields count="1">
    <pageField fld="1" hier="0" name="[Transactions].[Date].[All]" cap="All"/>
  </pageFields>
  <dataFields count="1">
    <dataField name="Sum of Amount" fld="0" baseField="0" baseItem="0"/>
  </dataFields>
  <formats count="1">
    <format dxfId="1">
      <pivotArea collapsedLevelsAreSubtotals="1" fieldPosition="0">
        <references count="1">
          <reference field="2" count="0"/>
        </references>
      </pivotArea>
    </format>
  </formats>
  <chartFormats count="6">
    <chartFormat chart="2" format="0"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4"/>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s>
  <pivotHierarchies count="7">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er.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A1F88C-23B2-452C-A8CD-8919ABC98AC6}" name="PivotTable10" cacheId="2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4:B10"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pageFields count="1">
    <pageField fld="1" hier="0" name="[Transactions].[Date].[All]" cap="All"/>
  </pageFields>
  <dataFields count="1">
    <dataField name="Sum of Amount" fld="0" baseField="0" baseItem="0"/>
  </dataFields>
  <formats count="1">
    <format dxfId="2">
      <pivotArea collapsedLevelsAreSubtotals="1" fieldPosition="0">
        <references count="1">
          <reference field="2" count="0"/>
        </references>
      </pivotArea>
    </format>
  </formats>
  <pivotHierarchies count="7">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er.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AE7A0B-4699-49B3-83F5-1D14447114EB}" name="PivotTable11" cacheId="2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B20" firstHeaderRow="1" firstDataRow="1" firstDataCol="1" rowPageCount="1" colPageCount="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2" hier="0" name="[Transactions].[Date].[All]" cap="All"/>
  </pageFields>
  <dataFields count="1">
    <dataField name="Sum of Amount" fld="1" showDataAs="percentOfTotal" baseField="0" baseItem="0" numFmtId="10"/>
  </dataFields>
  <pivotHierarchies count="7">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er.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44B7DC-A880-420D-BD96-11BA3EB3041E}" name="PivotTable23" cacheId="2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3">
  <location ref="A10:B16"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pageFields count="1">
    <pageField fld="1" hier="0" name="[Transactions].[Date].[All]" cap="All"/>
  </pageFields>
  <dataFields count="1">
    <dataField name="Total Amount" fld="0" baseField="2" baseItem="0"/>
  </dataFields>
  <formats count="1">
    <format dxfId="8">
      <pivotArea collapsedLevelsAreSubtotals="1" fieldPosition="0">
        <references count="1">
          <reference field="2" count="0"/>
        </references>
      </pivotArea>
    </format>
  </formats>
  <chartFormats count="12">
    <chartFormat chart="2" format="0"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4"/>
          </reference>
        </references>
      </pivotArea>
    </chartFormat>
    <chartFormat chart="2" format="9">
      <pivotArea type="data" outline="0" fieldPosition="0">
        <references count="2">
          <reference field="4294967294" count="1" selected="0">
            <x v="0"/>
          </reference>
          <reference field="2"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 count="1" selected="0">
            <x v="4"/>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 chart="10" format="3">
      <pivotArea type="data" outline="0" fieldPosition="0">
        <references count="2">
          <reference field="4294967294" count="1" selected="0">
            <x v="0"/>
          </reference>
          <reference field="2" count="1" selected="0">
            <x v="0"/>
          </reference>
        </references>
      </pivotArea>
    </chartFormat>
    <chartFormat chart="10" format="4">
      <pivotArea type="data" outline="0" fieldPosition="0">
        <references count="2">
          <reference field="4294967294" count="1" selected="0">
            <x v="0"/>
          </reference>
          <reference field="2" count="1" selected="0">
            <x v="2"/>
          </reference>
        </references>
      </pivotArea>
    </chartFormat>
    <chartFormat chart="10" format="5">
      <pivotArea type="data" outline="0" fieldPosition="0">
        <references count="2">
          <reference field="4294967294" count="1" selected="0">
            <x v="0"/>
          </reference>
          <reference field="2" count="1" selected="0">
            <x v="3"/>
          </reference>
        </references>
      </pivotArea>
    </chartFormat>
  </chartFormats>
  <pivotHierarchies count="7">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Amount"/>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pense Tracker.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1D5EFFD9-B68C-438D-AEBA-398F556454F0}" sourceName="[Transactions].[Date]">
  <pivotTables>
    <pivotTable tabId="8" name="PivotTable23"/>
  </pivotTables>
  <data>
    <olap pivotCacheId="1547016707">
      <levels count="2">
        <level uniqueName="[Transactions].[Date].[(All)]" sourceCaption="(All)" count="0"/>
        <level uniqueName="[Transactions].[Date].[Date]" sourceCaption="Date" count="23">
          <ranges>
            <range startItem="0">
              <i n="[Transactions].[Date].&amp;[2025-03-02T00:00:00]" c="2/3/2025"/>
              <i n="[Transactions].[Date].&amp;[2025-03-04T00:00:00]" c="4/3/2025"/>
              <i n="[Transactions].[Date].&amp;[2025-03-05T00:00:00]" c="5/3/2025"/>
              <i n="[Transactions].[Date].&amp;[2025-03-06T00:00:00]" c="6/3/2025"/>
              <i n="[Transactions].[Date].&amp;[2025-03-07T00:00:00]" c="7/3/2025"/>
              <i n="[Transactions].[Date].&amp;[2025-03-11T00:00:00]" c="11/3/2025"/>
              <i n="[Transactions].[Date].&amp;[2025-03-12T00:00:00]" c="12/3/2025"/>
              <i n="[Transactions].[Date].&amp;[2025-03-13T00:00:00]" c="13/3/2025"/>
              <i n="[Transactions].[Date].&amp;[2025-03-14T00:00:00]" c="14/3/2025"/>
              <i n="[Transactions].[Date].&amp;[2025-03-15T00:00:00]" c="15/3/2025"/>
              <i n="[Transactions].[Date].&amp;[2025-03-17T00:00:00]" c="17/3/2025"/>
              <i n="[Transactions].[Date].&amp;[2025-03-18T00:00:00]" c="18/3/2025"/>
              <i n="[Transactions].[Date].&amp;[2025-03-19T00:00:00]" c="19/3/2025"/>
              <i n="[Transactions].[Date].&amp;[2025-03-20T00:00:00]" c="20/3/2025"/>
              <i n="[Transactions].[Date].&amp;[2025-03-21T00:00:00]" c="21/3/2025"/>
              <i n="[Transactions].[Date].&amp;[2025-03-22T00:00:00]" c="22/3/2025"/>
              <i n="[Transactions].[Date].&amp;[2025-03-24T00:00:00]" c="24/3/2025"/>
              <i n="[Transactions].[Date].&amp;[2025-03-25T00:00:00]" c="25/3/2025"/>
              <i n="[Transactions].[Date].&amp;[2025-03-26T00:00:00]" c="26/3/2025"/>
              <i n="[Transactions].[Date].&amp;[2025-03-27T00:00:00]" c="27/3/2025"/>
              <i n="[Transactions].[Date].&amp;[2025-03-28T00:00:00]" c="28/3/2025"/>
              <i n="[Transactions].[Date].&amp;[2025-03-29T00:00:00]" c="29/3/2025"/>
              <i n="[Transactions].[Date].&amp;[2025-03-30T00:00:00]" c="30/3/2025"/>
            </range>
          </ranges>
        </level>
      </levels>
      <selections count="1">
        <selection n="[Transactions].[D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D376C114-8A61-4F39-BD3C-A2226775C3B5}" cache="Slicer_Date" caption="Date"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8F0F0-BE89-49AD-95B3-3D4C3B88751A}" name="Transactions" displayName="Transactions" ref="A1:E46" totalsRowShown="0">
  <autoFilter ref="A1:E46" xr:uid="{B758F0F0-BE89-49AD-95B3-3D4C3B88751A}"/>
  <sortState xmlns:xlrd2="http://schemas.microsoft.com/office/spreadsheetml/2017/richdata2" ref="A2:E46">
    <sortCondition ref="A1:A46"/>
  </sortState>
  <tableColumns count="5">
    <tableColumn id="1" xr3:uid="{6D43ECB3-9345-4FD6-B225-52073A967833}" name="Date" dataDxfId="4"/>
    <tableColumn id="2" xr3:uid="{8BBF07F2-2E7A-48D9-B5B4-6FB0CF467B78}" name="Category"/>
    <tableColumn id="3" xr3:uid="{9276DAF0-DE07-4109-9D00-AA7E652841E7}" name="Amount" dataDxfId="3"/>
    <tableColumn id="4" xr3:uid="{AC9E34C9-B79D-432C-B1DE-58E0CD7372B5}" name="Type"/>
    <tableColumn id="5" xr3:uid="{1CF231E1-22F2-491C-8FB9-94802ABF4300}" name="Month"/>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C1ACE6-B0FD-46EB-A672-DDD25D03B7A0}" name="Table2" displayName="Table2" ref="A2:D6" totalsRowShown="0">
  <autoFilter ref="A2:D6" xr:uid="{97C1ACE6-B0FD-46EB-A672-DDD25D03B7A0}"/>
  <tableColumns count="4">
    <tableColumn id="1" xr3:uid="{52CBBE45-D9A3-4977-B19C-AB0644A2A53B}" name="Category" dataDxfId="7"/>
    <tableColumn id="2" xr3:uid="{6403036D-2E75-431E-B333-3A676521ED32}" name="Monthly Budget (RM)"/>
    <tableColumn id="3" xr3:uid="{74D49266-32D0-4DD5-B09B-8DE18909F6DB}" name="Spent (RM)" dataDxfId="6">
      <calculatedColumnFormula>GETPIVOTDATA("[Measures].[Sum of Amount]",$A$10,"[Transactions].[Category]","[Transactions].[Category].&amp;[Bill]")</calculatedColumnFormula>
    </tableColumn>
    <tableColumn id="4" xr3:uid="{8B56869F-794D-4D9B-AE08-29F6D1C8BDE0}" name="Balance" dataDxfId="5">
      <calculatedColumnFormula>B3-C3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ivotTable" Target="../pivotTables/pivotTable4.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0817-57A7-4777-86CC-3830B36448A2}">
  <dimension ref="A1:G46"/>
  <sheetViews>
    <sheetView workbookViewId="0">
      <pane xSplit="9" ySplit="11" topLeftCell="J36" activePane="bottomRight" state="frozen"/>
      <selection pane="topRight" activeCell="J1" sqref="J1"/>
      <selection pane="bottomLeft" activeCell="A12" sqref="A12"/>
      <selection pane="bottomRight" activeCell="G5" sqref="G5"/>
    </sheetView>
  </sheetViews>
  <sheetFormatPr defaultRowHeight="14.5" x14ac:dyDescent="0.35"/>
  <cols>
    <col min="1" max="1" width="9.7265625" customWidth="1"/>
    <col min="2" max="2" width="11.6328125" customWidth="1"/>
    <col min="3" max="3" width="13.08984375" style="5" customWidth="1"/>
    <col min="4" max="4" width="8.6328125" customWidth="1"/>
  </cols>
  <sheetData>
    <row r="1" spans="1:7" x14ac:dyDescent="0.35">
      <c r="A1" t="s">
        <v>0</v>
      </c>
      <c r="B1" t="s">
        <v>1</v>
      </c>
      <c r="C1" s="5" t="s">
        <v>2</v>
      </c>
      <c r="D1" t="s">
        <v>3</v>
      </c>
      <c r="E1" t="s">
        <v>17</v>
      </c>
    </row>
    <row r="2" spans="1:7" x14ac:dyDescent="0.35">
      <c r="A2" s="1">
        <v>45718</v>
      </c>
      <c r="B2" t="s">
        <v>7</v>
      </c>
      <c r="C2" s="5">
        <v>2.12</v>
      </c>
      <c r="D2" t="s">
        <v>4</v>
      </c>
      <c r="E2" t="s">
        <v>18</v>
      </c>
      <c r="G2" t="s">
        <v>20</v>
      </c>
    </row>
    <row r="3" spans="1:7" x14ac:dyDescent="0.35">
      <c r="A3" s="1">
        <v>45718</v>
      </c>
      <c r="B3" t="s">
        <v>5</v>
      </c>
      <c r="C3" s="5">
        <v>46.7</v>
      </c>
      <c r="D3" t="s">
        <v>4</v>
      </c>
      <c r="E3" t="s">
        <v>18</v>
      </c>
    </row>
    <row r="4" spans="1:7" x14ac:dyDescent="0.35">
      <c r="A4" s="1">
        <v>45720</v>
      </c>
      <c r="B4" t="s">
        <v>9</v>
      </c>
      <c r="C4" s="5">
        <v>650</v>
      </c>
      <c r="D4" t="s">
        <v>4</v>
      </c>
      <c r="E4" t="s">
        <v>18</v>
      </c>
    </row>
    <row r="5" spans="1:7" x14ac:dyDescent="0.35">
      <c r="A5" s="1">
        <v>45721</v>
      </c>
      <c r="B5" t="s">
        <v>5</v>
      </c>
      <c r="C5" s="5">
        <v>57.9</v>
      </c>
      <c r="D5" t="s">
        <v>4</v>
      </c>
      <c r="E5" t="s">
        <v>18</v>
      </c>
    </row>
    <row r="6" spans="1:7" x14ac:dyDescent="0.35">
      <c r="A6" s="1">
        <v>45721</v>
      </c>
      <c r="B6" t="s">
        <v>5</v>
      </c>
      <c r="C6" s="5">
        <v>22.4</v>
      </c>
      <c r="D6" t="s">
        <v>4</v>
      </c>
      <c r="E6" t="s">
        <v>18</v>
      </c>
    </row>
    <row r="7" spans="1:7" x14ac:dyDescent="0.35">
      <c r="A7" s="1">
        <v>45722</v>
      </c>
      <c r="B7" t="s">
        <v>9</v>
      </c>
      <c r="C7" s="5">
        <v>90</v>
      </c>
      <c r="D7" t="s">
        <v>4</v>
      </c>
      <c r="E7" t="s">
        <v>18</v>
      </c>
    </row>
    <row r="8" spans="1:7" x14ac:dyDescent="0.35">
      <c r="A8" s="1">
        <v>45722</v>
      </c>
      <c r="B8" t="s">
        <v>5</v>
      </c>
      <c r="C8" s="5">
        <v>45</v>
      </c>
      <c r="D8" t="s">
        <v>4</v>
      </c>
      <c r="E8" t="s">
        <v>18</v>
      </c>
    </row>
    <row r="9" spans="1:7" x14ac:dyDescent="0.35">
      <c r="A9" s="1">
        <v>45722</v>
      </c>
      <c r="B9" t="s">
        <v>5</v>
      </c>
      <c r="C9" s="5">
        <v>6.5</v>
      </c>
      <c r="D9" t="s">
        <v>4</v>
      </c>
      <c r="E9" t="s">
        <v>18</v>
      </c>
    </row>
    <row r="10" spans="1:7" x14ac:dyDescent="0.35">
      <c r="A10" s="1">
        <v>45723</v>
      </c>
      <c r="B10" t="s">
        <v>7</v>
      </c>
      <c r="C10" s="5">
        <v>30</v>
      </c>
      <c r="D10" t="s">
        <v>4</v>
      </c>
      <c r="E10" t="s">
        <v>18</v>
      </c>
    </row>
    <row r="11" spans="1:7" x14ac:dyDescent="0.35">
      <c r="A11" s="1">
        <v>45727</v>
      </c>
      <c r="B11" t="s">
        <v>9</v>
      </c>
      <c r="C11" s="5">
        <v>100</v>
      </c>
      <c r="D11" t="s">
        <v>4</v>
      </c>
      <c r="E11" t="s">
        <v>18</v>
      </c>
    </row>
    <row r="12" spans="1:7" x14ac:dyDescent="0.35">
      <c r="A12" s="1">
        <v>45727</v>
      </c>
      <c r="B12" t="s">
        <v>5</v>
      </c>
      <c r="C12" s="5">
        <v>15</v>
      </c>
      <c r="D12" t="s">
        <v>4</v>
      </c>
      <c r="E12" t="s">
        <v>18</v>
      </c>
    </row>
    <row r="13" spans="1:7" x14ac:dyDescent="0.35">
      <c r="A13" s="1">
        <v>45728</v>
      </c>
      <c r="B13" t="s">
        <v>7</v>
      </c>
      <c r="C13" s="5">
        <v>10</v>
      </c>
      <c r="D13" t="s">
        <v>4</v>
      </c>
      <c r="E13" t="s">
        <v>18</v>
      </c>
    </row>
    <row r="14" spans="1:7" x14ac:dyDescent="0.35">
      <c r="A14" s="1">
        <v>45728</v>
      </c>
      <c r="B14" t="s">
        <v>7</v>
      </c>
      <c r="C14" s="5">
        <v>5</v>
      </c>
      <c r="D14" t="s">
        <v>4</v>
      </c>
      <c r="E14" t="s">
        <v>18</v>
      </c>
    </row>
    <row r="15" spans="1:7" x14ac:dyDescent="0.35">
      <c r="A15" s="1">
        <v>45729</v>
      </c>
      <c r="B15" t="s">
        <v>7</v>
      </c>
      <c r="C15" s="5">
        <v>2.5</v>
      </c>
      <c r="D15" t="s">
        <v>4</v>
      </c>
      <c r="E15" t="s">
        <v>18</v>
      </c>
    </row>
    <row r="16" spans="1:7" x14ac:dyDescent="0.35">
      <c r="A16" s="1">
        <v>45730</v>
      </c>
      <c r="B16" t="s">
        <v>7</v>
      </c>
      <c r="C16" s="5">
        <v>10</v>
      </c>
      <c r="D16" t="s">
        <v>4</v>
      </c>
      <c r="E16" t="s">
        <v>18</v>
      </c>
    </row>
    <row r="17" spans="1:5" x14ac:dyDescent="0.35">
      <c r="A17" s="1">
        <v>45730</v>
      </c>
      <c r="B17" t="s">
        <v>9</v>
      </c>
      <c r="C17" s="5">
        <v>1000</v>
      </c>
      <c r="D17" t="s">
        <v>4</v>
      </c>
      <c r="E17" t="s">
        <v>18</v>
      </c>
    </row>
    <row r="18" spans="1:5" x14ac:dyDescent="0.35">
      <c r="A18" s="1">
        <v>45730</v>
      </c>
      <c r="B18" t="s">
        <v>6</v>
      </c>
      <c r="C18" s="5">
        <v>19.95</v>
      </c>
      <c r="D18" t="s">
        <v>4</v>
      </c>
      <c r="E18" t="s">
        <v>18</v>
      </c>
    </row>
    <row r="19" spans="1:5" x14ac:dyDescent="0.35">
      <c r="A19" s="1">
        <v>45730</v>
      </c>
      <c r="B19" t="s">
        <v>6</v>
      </c>
      <c r="C19" s="5">
        <v>39.1</v>
      </c>
      <c r="D19" t="s">
        <v>4</v>
      </c>
      <c r="E19" t="s">
        <v>18</v>
      </c>
    </row>
    <row r="20" spans="1:5" x14ac:dyDescent="0.35">
      <c r="A20" s="1">
        <v>45731</v>
      </c>
      <c r="B20" t="s">
        <v>7</v>
      </c>
      <c r="C20" s="5">
        <v>200</v>
      </c>
      <c r="D20" t="s">
        <v>4</v>
      </c>
      <c r="E20" t="s">
        <v>18</v>
      </c>
    </row>
    <row r="21" spans="1:5" x14ac:dyDescent="0.35">
      <c r="A21" s="1">
        <v>45733</v>
      </c>
      <c r="B21" t="s">
        <v>9</v>
      </c>
      <c r="C21" s="5">
        <v>730</v>
      </c>
      <c r="D21" t="s">
        <v>4</v>
      </c>
      <c r="E21" t="s">
        <v>18</v>
      </c>
    </row>
    <row r="22" spans="1:5" x14ac:dyDescent="0.35">
      <c r="A22" s="1">
        <v>45734</v>
      </c>
      <c r="B22" t="s">
        <v>6</v>
      </c>
      <c r="C22" s="5">
        <v>99</v>
      </c>
      <c r="D22" t="s">
        <v>4</v>
      </c>
      <c r="E22" t="s">
        <v>18</v>
      </c>
    </row>
    <row r="23" spans="1:5" x14ac:dyDescent="0.35">
      <c r="A23" s="1">
        <v>45734</v>
      </c>
      <c r="B23" t="s">
        <v>6</v>
      </c>
      <c r="C23" s="5">
        <v>26.65</v>
      </c>
      <c r="D23" t="s">
        <v>4</v>
      </c>
      <c r="E23" t="s">
        <v>18</v>
      </c>
    </row>
    <row r="24" spans="1:5" x14ac:dyDescent="0.35">
      <c r="A24" s="1">
        <v>45735</v>
      </c>
      <c r="B24" t="s">
        <v>7</v>
      </c>
      <c r="C24" s="5">
        <v>20</v>
      </c>
      <c r="D24" t="s">
        <v>4</v>
      </c>
      <c r="E24" t="s">
        <v>18</v>
      </c>
    </row>
    <row r="25" spans="1:5" x14ac:dyDescent="0.35">
      <c r="A25" s="1">
        <v>45735</v>
      </c>
      <c r="B25" t="s">
        <v>7</v>
      </c>
      <c r="C25" s="5">
        <v>1.66</v>
      </c>
      <c r="D25" t="s">
        <v>4</v>
      </c>
      <c r="E25" t="s">
        <v>18</v>
      </c>
    </row>
    <row r="26" spans="1:5" x14ac:dyDescent="0.35">
      <c r="A26" s="1">
        <v>45736</v>
      </c>
      <c r="B26" t="s">
        <v>7</v>
      </c>
      <c r="C26" s="5">
        <v>2.13</v>
      </c>
      <c r="D26" t="s">
        <v>4</v>
      </c>
      <c r="E26" t="s">
        <v>18</v>
      </c>
    </row>
    <row r="27" spans="1:5" x14ac:dyDescent="0.35">
      <c r="A27" s="1">
        <v>45737</v>
      </c>
      <c r="B27" t="s">
        <v>7</v>
      </c>
      <c r="C27" s="5">
        <v>2.5</v>
      </c>
      <c r="D27" t="s">
        <v>4</v>
      </c>
      <c r="E27" t="s">
        <v>18</v>
      </c>
    </row>
    <row r="28" spans="1:5" x14ac:dyDescent="0.35">
      <c r="A28" s="1">
        <v>45737</v>
      </c>
      <c r="B28" t="s">
        <v>7</v>
      </c>
      <c r="C28" s="5">
        <v>20</v>
      </c>
      <c r="D28" t="s">
        <v>4</v>
      </c>
      <c r="E28" t="s">
        <v>18</v>
      </c>
    </row>
    <row r="29" spans="1:5" x14ac:dyDescent="0.35">
      <c r="A29" s="1">
        <v>45737</v>
      </c>
      <c r="B29" t="s">
        <v>7</v>
      </c>
      <c r="C29" s="5">
        <v>2.13</v>
      </c>
      <c r="D29" t="s">
        <v>4</v>
      </c>
      <c r="E29" t="s">
        <v>18</v>
      </c>
    </row>
    <row r="30" spans="1:5" x14ac:dyDescent="0.35">
      <c r="A30" s="1">
        <v>45737</v>
      </c>
      <c r="B30" t="s">
        <v>9</v>
      </c>
      <c r="C30" s="5">
        <v>50</v>
      </c>
      <c r="D30" t="s">
        <v>4</v>
      </c>
      <c r="E30" t="s">
        <v>18</v>
      </c>
    </row>
    <row r="31" spans="1:5" x14ac:dyDescent="0.35">
      <c r="A31" s="1">
        <v>45737</v>
      </c>
      <c r="B31" t="s">
        <v>6</v>
      </c>
      <c r="C31" s="5">
        <v>100</v>
      </c>
      <c r="D31" t="s">
        <v>4</v>
      </c>
      <c r="E31" t="s">
        <v>18</v>
      </c>
    </row>
    <row r="32" spans="1:5" x14ac:dyDescent="0.35">
      <c r="A32" s="1">
        <v>45738</v>
      </c>
      <c r="B32" t="s">
        <v>8</v>
      </c>
      <c r="C32" s="5">
        <v>90</v>
      </c>
      <c r="D32" t="s">
        <v>4</v>
      </c>
      <c r="E32" t="s">
        <v>18</v>
      </c>
    </row>
    <row r="33" spans="1:5" x14ac:dyDescent="0.35">
      <c r="A33" s="1">
        <v>45738</v>
      </c>
      <c r="B33" t="s">
        <v>7</v>
      </c>
      <c r="C33" s="5">
        <v>2.13</v>
      </c>
      <c r="D33" t="s">
        <v>4</v>
      </c>
      <c r="E33" t="s">
        <v>18</v>
      </c>
    </row>
    <row r="34" spans="1:5" x14ac:dyDescent="0.35">
      <c r="A34" s="1">
        <v>45740</v>
      </c>
      <c r="B34" t="s">
        <v>6</v>
      </c>
      <c r="C34" s="5">
        <v>106.7</v>
      </c>
      <c r="D34" t="s">
        <v>4</v>
      </c>
      <c r="E34" t="s">
        <v>18</v>
      </c>
    </row>
    <row r="35" spans="1:5" x14ac:dyDescent="0.35">
      <c r="A35" s="1">
        <v>45740</v>
      </c>
      <c r="B35" t="s">
        <v>7</v>
      </c>
      <c r="C35" s="5">
        <v>20</v>
      </c>
      <c r="D35" t="s">
        <v>4</v>
      </c>
      <c r="E35" t="s">
        <v>18</v>
      </c>
    </row>
    <row r="36" spans="1:5" x14ac:dyDescent="0.35">
      <c r="A36" s="1">
        <v>45741</v>
      </c>
      <c r="B36" t="s">
        <v>6</v>
      </c>
      <c r="C36" s="5">
        <v>59</v>
      </c>
      <c r="D36" t="s">
        <v>4</v>
      </c>
      <c r="E36" t="s">
        <v>18</v>
      </c>
    </row>
    <row r="37" spans="1:5" x14ac:dyDescent="0.35">
      <c r="A37" s="1">
        <v>45742</v>
      </c>
      <c r="B37" t="s">
        <v>5</v>
      </c>
      <c r="C37" s="5">
        <v>24</v>
      </c>
      <c r="D37" t="s">
        <v>4</v>
      </c>
      <c r="E37" t="s">
        <v>18</v>
      </c>
    </row>
    <row r="38" spans="1:5" x14ac:dyDescent="0.35">
      <c r="A38" s="1">
        <v>45743</v>
      </c>
      <c r="B38" t="s">
        <v>9</v>
      </c>
      <c r="C38" s="5">
        <v>500</v>
      </c>
      <c r="D38" t="s">
        <v>4</v>
      </c>
      <c r="E38" t="s">
        <v>18</v>
      </c>
    </row>
    <row r="39" spans="1:5" x14ac:dyDescent="0.35">
      <c r="A39" s="1">
        <v>45743</v>
      </c>
      <c r="B39" t="s">
        <v>9</v>
      </c>
      <c r="C39" s="5">
        <v>100</v>
      </c>
      <c r="D39" t="s">
        <v>4</v>
      </c>
      <c r="E39" t="s">
        <v>18</v>
      </c>
    </row>
    <row r="40" spans="1:5" x14ac:dyDescent="0.35">
      <c r="A40" s="1">
        <v>45743</v>
      </c>
      <c r="B40" t="s">
        <v>5</v>
      </c>
      <c r="C40" s="5">
        <v>5</v>
      </c>
      <c r="D40" t="s">
        <v>4</v>
      </c>
      <c r="E40" t="s">
        <v>18</v>
      </c>
    </row>
    <row r="41" spans="1:5" x14ac:dyDescent="0.35">
      <c r="A41" s="1">
        <v>45744</v>
      </c>
      <c r="B41" t="s">
        <v>6</v>
      </c>
      <c r="C41" s="5">
        <v>46</v>
      </c>
      <c r="D41" t="s">
        <v>4</v>
      </c>
      <c r="E41" t="s">
        <v>18</v>
      </c>
    </row>
    <row r="42" spans="1:5" x14ac:dyDescent="0.35">
      <c r="A42" s="1">
        <v>45744</v>
      </c>
      <c r="B42" t="s">
        <v>5</v>
      </c>
      <c r="C42" s="5">
        <v>27.5</v>
      </c>
      <c r="D42" t="s">
        <v>4</v>
      </c>
      <c r="E42" t="s">
        <v>18</v>
      </c>
    </row>
    <row r="43" spans="1:5" x14ac:dyDescent="0.35">
      <c r="A43" s="1">
        <v>45745</v>
      </c>
      <c r="B43" t="s">
        <v>9</v>
      </c>
      <c r="C43" s="5">
        <v>300</v>
      </c>
      <c r="D43" t="s">
        <v>4</v>
      </c>
      <c r="E43" t="s">
        <v>18</v>
      </c>
    </row>
    <row r="44" spans="1:5" x14ac:dyDescent="0.35">
      <c r="A44" s="1">
        <v>45746</v>
      </c>
      <c r="B44" t="s">
        <v>5</v>
      </c>
      <c r="C44" s="5">
        <v>130</v>
      </c>
      <c r="D44" t="s">
        <v>4</v>
      </c>
      <c r="E44" t="s">
        <v>18</v>
      </c>
    </row>
    <row r="45" spans="1:5" x14ac:dyDescent="0.35">
      <c r="A45" s="1">
        <v>45746</v>
      </c>
      <c r="B45" t="s">
        <v>7</v>
      </c>
      <c r="C45" s="5">
        <v>2.13</v>
      </c>
      <c r="D45" t="s">
        <v>4</v>
      </c>
      <c r="E45" t="s">
        <v>18</v>
      </c>
    </row>
    <row r="46" spans="1:5" x14ac:dyDescent="0.35">
      <c r="A46" s="1">
        <v>45746</v>
      </c>
      <c r="B46" t="s">
        <v>7</v>
      </c>
      <c r="C46" s="5">
        <v>2.13</v>
      </c>
      <c r="D46" t="s">
        <v>4</v>
      </c>
      <c r="E46" t="s">
        <v>18</v>
      </c>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96C8-3E79-45E9-8016-97C98BC1BA68}">
  <dimension ref="A2:E20"/>
  <sheetViews>
    <sheetView workbookViewId="0">
      <selection activeCell="E6" sqref="E6"/>
    </sheetView>
  </sheetViews>
  <sheetFormatPr defaultRowHeight="14.5" x14ac:dyDescent="0.35"/>
  <cols>
    <col min="1" max="1" width="12.453125" bestFit="1" customWidth="1"/>
    <col min="2" max="2" width="13.6328125" bestFit="1" customWidth="1"/>
    <col min="3" max="3" width="11.36328125" bestFit="1" customWidth="1"/>
    <col min="4" max="4" width="13.26953125" customWidth="1"/>
    <col min="5" max="5" width="15.81640625" customWidth="1"/>
    <col min="7" max="7" width="10.36328125" bestFit="1" customWidth="1"/>
  </cols>
  <sheetData>
    <row r="2" spans="1:5" x14ac:dyDescent="0.35">
      <c r="A2" s="2" t="s">
        <v>0</v>
      </c>
      <c r="B2" t="s" vm="1">
        <v>13</v>
      </c>
      <c r="D2" s="2" t="s">
        <v>0</v>
      </c>
      <c r="E2" t="s" vm="1">
        <v>13</v>
      </c>
    </row>
    <row r="4" spans="1:5" x14ac:dyDescent="0.35">
      <c r="A4" s="2" t="s">
        <v>10</v>
      </c>
      <c r="B4" t="s">
        <v>12</v>
      </c>
      <c r="D4" s="2" t="s">
        <v>10</v>
      </c>
      <c r="E4" t="s">
        <v>12</v>
      </c>
    </row>
    <row r="5" spans="1:5" x14ac:dyDescent="0.35">
      <c r="A5" s="3" t="s">
        <v>8</v>
      </c>
      <c r="B5" s="5">
        <v>90</v>
      </c>
      <c r="D5" s="3" t="s">
        <v>8</v>
      </c>
      <c r="E5" s="5">
        <v>90</v>
      </c>
    </row>
    <row r="6" spans="1:5" x14ac:dyDescent="0.35">
      <c r="A6" s="3" t="s">
        <v>5</v>
      </c>
      <c r="B6" s="5">
        <v>380</v>
      </c>
      <c r="D6" s="3" t="s">
        <v>5</v>
      </c>
      <c r="E6" s="5">
        <v>380</v>
      </c>
    </row>
    <row r="7" spans="1:5" x14ac:dyDescent="0.35">
      <c r="A7" s="3" t="s">
        <v>6</v>
      </c>
      <c r="B7" s="5">
        <v>496.4</v>
      </c>
      <c r="D7" s="3" t="s">
        <v>6</v>
      </c>
      <c r="E7" s="5">
        <v>496.4</v>
      </c>
    </row>
    <row r="8" spans="1:5" x14ac:dyDescent="0.35">
      <c r="A8" s="3" t="s">
        <v>9</v>
      </c>
      <c r="B8" s="5">
        <v>3520</v>
      </c>
      <c r="D8" s="3" t="s">
        <v>9</v>
      </c>
      <c r="E8" s="5">
        <v>3520</v>
      </c>
    </row>
    <row r="9" spans="1:5" x14ac:dyDescent="0.35">
      <c r="A9" s="3" t="s">
        <v>7</v>
      </c>
      <c r="B9" s="5">
        <v>334.43</v>
      </c>
      <c r="D9" s="3" t="s">
        <v>7</v>
      </c>
      <c r="E9" s="5">
        <v>334.43</v>
      </c>
    </row>
    <row r="10" spans="1:5" x14ac:dyDescent="0.35">
      <c r="A10" s="3" t="s">
        <v>11</v>
      </c>
      <c r="B10">
        <v>4820.83</v>
      </c>
      <c r="D10" s="3" t="s">
        <v>11</v>
      </c>
      <c r="E10">
        <v>4820.83</v>
      </c>
    </row>
    <row r="11" spans="1:5" x14ac:dyDescent="0.35">
      <c r="A11" s="3"/>
    </row>
    <row r="12" spans="1:5" x14ac:dyDescent="0.35">
      <c r="A12" s="2" t="s">
        <v>0</v>
      </c>
      <c r="B12" t="s" vm="1">
        <v>13</v>
      </c>
    </row>
    <row r="14" spans="1:5" x14ac:dyDescent="0.35">
      <c r="A14" s="2" t="s">
        <v>10</v>
      </c>
      <c r="B14" t="s">
        <v>12</v>
      </c>
    </row>
    <row r="15" spans="1:5" x14ac:dyDescent="0.35">
      <c r="A15" s="3" t="s">
        <v>8</v>
      </c>
      <c r="B15" s="4">
        <v>1.8668984386506059E-2</v>
      </c>
    </row>
    <row r="16" spans="1:5" x14ac:dyDescent="0.35">
      <c r="A16" s="3" t="s">
        <v>5</v>
      </c>
      <c r="B16" s="4">
        <v>7.882460074302558E-2</v>
      </c>
    </row>
    <row r="17" spans="1:2" x14ac:dyDescent="0.35">
      <c r="A17" s="3" t="s">
        <v>6</v>
      </c>
      <c r="B17" s="4">
        <v>0.1029698205495734</v>
      </c>
    </row>
    <row r="18" spans="1:2" x14ac:dyDescent="0.35">
      <c r="A18" s="3" t="s">
        <v>9</v>
      </c>
      <c r="B18" s="4">
        <v>0.73016472267223698</v>
      </c>
    </row>
    <row r="19" spans="1:2" x14ac:dyDescent="0.35">
      <c r="A19" s="3" t="s">
        <v>7</v>
      </c>
      <c r="B19" s="4">
        <v>6.9371871648658018E-2</v>
      </c>
    </row>
    <row r="20" spans="1:2" x14ac:dyDescent="0.35">
      <c r="A20" s="3" t="s">
        <v>11</v>
      </c>
      <c r="B20" s="4">
        <v>1</v>
      </c>
    </row>
  </sheetData>
  <sheetProtection algorithmName="SHA-512" hashValue="aj8njPj1M6dwfiPVs7ewvZFijoHMggyNXr7O0q/du5c2aQ8tytgtQqxNAswrBgQMb/CJL52T4NnqIwaPRs4S8g==" saltValue="I6ojpJqrXc/QY0m5DOpG3A==" spinCount="100000" sheet="1" objects="1" scenarios="1"/>
  <conditionalFormatting sqref="D5:E10">
    <cfRule type="dataBar" priority="1">
      <dataBar>
        <cfvo type="min"/>
        <cfvo type="max"/>
        <color rgb="FF63C384"/>
      </dataBar>
      <extLst>
        <ext xmlns:x14="http://schemas.microsoft.com/office/spreadsheetml/2009/9/main" uri="{B025F937-C7B1-47D3-B67F-A62EFF666E3E}">
          <x14:id>{929D99E6-E930-4652-86A7-2530549A435D}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29D99E6-E930-4652-86A7-2530549A435D}">
            <x14:dataBar minLength="0" maxLength="100" border="1" negativeBarBorderColorSameAsPositive="0">
              <x14:cfvo type="autoMin"/>
              <x14:cfvo type="autoMax"/>
              <x14:borderColor rgb="FF63C384"/>
              <x14:negativeFillColor rgb="FFFF0000"/>
              <x14:negativeBorderColor rgb="FFFF0000"/>
              <x14:axisColor rgb="FF000000"/>
            </x14:dataBar>
          </x14:cfRule>
          <xm:sqref>D5:E10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44F4-4368-4262-9926-33E9D717148C}">
  <dimension ref="A2:G22"/>
  <sheetViews>
    <sheetView tabSelected="1" topLeftCell="A2" workbookViewId="0">
      <selection activeCell="J24" sqref="J24"/>
    </sheetView>
  </sheetViews>
  <sheetFormatPr defaultRowHeight="14.5" x14ac:dyDescent="0.35"/>
  <cols>
    <col min="1" max="1" width="12.453125" bestFit="1" customWidth="1"/>
    <col min="2" max="2" width="16.08984375" customWidth="1"/>
    <col min="3" max="3" width="12" customWidth="1"/>
    <col min="4" max="4" width="9.54296875" customWidth="1"/>
    <col min="6" max="6" width="12.453125" bestFit="1" customWidth="1"/>
    <col min="7" max="7" width="13.6328125" bestFit="1" customWidth="1"/>
  </cols>
  <sheetData>
    <row r="2" spans="1:6" x14ac:dyDescent="0.35">
      <c r="A2" t="s">
        <v>1</v>
      </c>
      <c r="B2" t="s">
        <v>14</v>
      </c>
      <c r="C2" t="s">
        <v>16</v>
      </c>
      <c r="D2" s="5" t="s">
        <v>15</v>
      </c>
    </row>
    <row r="3" spans="1:6" x14ac:dyDescent="0.35">
      <c r="A3" s="3" t="s">
        <v>8</v>
      </c>
      <c r="B3">
        <v>200</v>
      </c>
      <c r="C3" s="5">
        <f>GETPIVOTDATA("[Measures].[Sum of Amount]",$A$10,"[Transactions].[Category]","[Transactions].[Category].&amp;[Bill]")</f>
        <v>90</v>
      </c>
      <c r="D3" s="5">
        <f>B3-C3</f>
        <v>110</v>
      </c>
    </row>
    <row r="4" spans="1:6" x14ac:dyDescent="0.35">
      <c r="A4" s="3" t="s">
        <v>5</v>
      </c>
      <c r="B4">
        <v>500</v>
      </c>
      <c r="C4" s="5">
        <f>GETPIVOTDATA("[Measures].[Sum of Amount]",$A$10,"[Transactions].[Category]","[Transactions].[Category].&amp;[Food &amp; Drink]")</f>
        <v>380</v>
      </c>
      <c r="D4" s="5">
        <f t="shared" ref="D4:D6" si="0">B4-C4</f>
        <v>120</v>
      </c>
    </row>
    <row r="5" spans="1:6" x14ac:dyDescent="0.35">
      <c r="A5" s="3" t="s">
        <v>6</v>
      </c>
      <c r="B5">
        <v>500</v>
      </c>
      <c r="C5" s="5">
        <f>GETPIVOTDATA("[Measures].[Sum of Amount]",$A$10,"[Transactions].[Category]","[Transactions].[Category].&amp;[Shops]")</f>
        <v>496.4</v>
      </c>
      <c r="D5" s="5">
        <f t="shared" si="0"/>
        <v>3.6000000000000227</v>
      </c>
    </row>
    <row r="6" spans="1:6" x14ac:dyDescent="0.35">
      <c r="A6" s="3" t="s">
        <v>7</v>
      </c>
      <c r="B6">
        <v>400</v>
      </c>
      <c r="C6" s="5">
        <f>GETPIVOTDATA("[Measures].[Sum of Amount]",$A$10,"[Transactions].[Category]","[Transactions].[Category].&amp;[Transport]")</f>
        <v>334.43</v>
      </c>
      <c r="D6" s="5">
        <f t="shared" si="0"/>
        <v>65.569999999999993</v>
      </c>
    </row>
    <row r="8" spans="1:6" x14ac:dyDescent="0.35">
      <c r="A8" s="2" t="s">
        <v>0</v>
      </c>
      <c r="B8" t="s" vm="1">
        <v>13</v>
      </c>
    </row>
    <row r="10" spans="1:6" x14ac:dyDescent="0.35">
      <c r="A10" s="2" t="s">
        <v>10</v>
      </c>
      <c r="B10" t="s">
        <v>19</v>
      </c>
    </row>
    <row r="11" spans="1:6" x14ac:dyDescent="0.35">
      <c r="A11" s="3" t="s">
        <v>8</v>
      </c>
      <c r="B11" s="5">
        <v>90</v>
      </c>
      <c r="F11" s="3"/>
    </row>
    <row r="12" spans="1:6" x14ac:dyDescent="0.35">
      <c r="A12" s="3" t="s">
        <v>5</v>
      </c>
      <c r="B12" s="5">
        <v>380</v>
      </c>
    </row>
    <row r="13" spans="1:6" x14ac:dyDescent="0.35">
      <c r="A13" s="3" t="s">
        <v>6</v>
      </c>
      <c r="B13" s="5">
        <v>496.4</v>
      </c>
    </row>
    <row r="14" spans="1:6" x14ac:dyDescent="0.35">
      <c r="A14" s="3" t="s">
        <v>9</v>
      </c>
      <c r="B14" s="5">
        <v>3520</v>
      </c>
    </row>
    <row r="15" spans="1:6" x14ac:dyDescent="0.35">
      <c r="A15" s="3" t="s">
        <v>7</v>
      </c>
      <c r="B15" s="5">
        <v>334.43</v>
      </c>
    </row>
    <row r="16" spans="1:6" x14ac:dyDescent="0.35">
      <c r="A16" s="3" t="s">
        <v>11</v>
      </c>
      <c r="B16">
        <v>4820.83</v>
      </c>
    </row>
    <row r="19" spans="7:7" x14ac:dyDescent="0.35">
      <c r="G19" t="s">
        <v>21</v>
      </c>
    </row>
    <row r="20" spans="7:7" x14ac:dyDescent="0.35">
      <c r="G20" t="s">
        <v>22</v>
      </c>
    </row>
    <row r="21" spans="7:7" x14ac:dyDescent="0.35">
      <c r="G21" t="s">
        <v>23</v>
      </c>
    </row>
    <row r="22" spans="7:7" x14ac:dyDescent="0.35">
      <c r="G22" t="s">
        <v>24</v>
      </c>
    </row>
  </sheetData>
  <conditionalFormatting sqref="A11:A16">
    <cfRule type="dataBar" priority="1">
      <dataBar>
        <cfvo type="min"/>
        <cfvo type="max"/>
        <color rgb="FF63C384"/>
      </dataBar>
      <extLst>
        <ext xmlns:x14="http://schemas.microsoft.com/office/spreadsheetml/2009/9/main" uri="{B025F937-C7B1-47D3-B67F-A62EFF666E3E}">
          <x14:id>{8342636D-A51E-419C-A1C1-E1FC2EE10CC1}</x14:id>
        </ext>
      </extLst>
    </cfRule>
  </conditionalFormatting>
  <conditionalFormatting sqref="D1:D1048576">
    <cfRule type="cellIs" dxfId="0" priority="2" operator="lessThan">
      <formula>0</formula>
    </cfRule>
  </conditionalFormatting>
  <conditionalFormatting sqref="F5:F10">
    <cfRule type="dataBar" priority="3">
      <dataBar>
        <cfvo type="min"/>
        <cfvo type="max"/>
        <color rgb="FF63C384"/>
      </dataBar>
      <extLst>
        <ext xmlns:x14="http://schemas.microsoft.com/office/spreadsheetml/2009/9/main" uri="{B025F937-C7B1-47D3-B67F-A62EFF666E3E}">
          <x14:id>{D166EDB2-B383-4907-B55C-B3E64D7B090F}</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8342636D-A51E-419C-A1C1-E1FC2EE10CC1}">
            <x14:dataBar minLength="0" maxLength="100" border="1" negativeBarBorderColorSameAsPositive="0">
              <x14:cfvo type="autoMin"/>
              <x14:cfvo type="autoMax"/>
              <x14:borderColor rgb="FF63C384"/>
              <x14:negativeFillColor rgb="FFFF0000"/>
              <x14:negativeBorderColor rgb="FFFF0000"/>
              <x14:axisColor rgb="FF000000"/>
            </x14:dataBar>
          </x14:cfRule>
          <xm:sqref>A11:A16</xm:sqref>
        </x14:conditionalFormatting>
        <x14:conditionalFormatting xmlns:xm="http://schemas.microsoft.com/office/excel/2006/main">
          <x14:cfRule type="dataBar" id="{D166EDB2-B383-4907-B55C-B3E64D7B090F}">
            <x14:dataBar minLength="0" maxLength="100" border="1" negativeBarBorderColorSameAsPositive="0">
              <x14:cfvo type="autoMin"/>
              <x14:cfvo type="autoMax"/>
              <x14:borderColor rgb="FF63C384"/>
              <x14:negativeFillColor rgb="FFFF0000"/>
              <x14:negativeBorderColor rgb="FFFF0000"/>
              <x14:axisColor rgb="FF000000"/>
            </x14:dataBar>
          </x14:cfRule>
          <xm:sqref>F5:F10</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Transactions(Dataset)</vt:lpstr>
      <vt:lpstr>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 shz</dc:creator>
  <cp:lastModifiedBy>elle shz</cp:lastModifiedBy>
  <dcterms:created xsi:type="dcterms:W3CDTF">2026-02-02T07:49:14Z</dcterms:created>
  <dcterms:modified xsi:type="dcterms:W3CDTF">2026-02-02T14:57:03Z</dcterms:modified>
</cp:coreProperties>
</file>